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3.xml" ContentType="application/vnd.openxmlformats-officedocument.drawing+xml"/>
  <Override PartName="/xl/ctrlProps/ctrlProp10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tsilvac\Desktop\"/>
    </mc:Choice>
  </mc:AlternateContent>
  <xr:revisionPtr revIDLastSave="0" documentId="8_{43696046-72FD-4D4C-8D65-363544CA18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alidación de Datos" sheetId="3" r:id="rId1"/>
    <sheet name="Datos" sheetId="1" r:id="rId2"/>
    <sheet name="Formulario" sheetId="2" r:id="rId3"/>
    <sheet name="Graficos" sheetId="4" r:id="rId4"/>
  </sheets>
  <definedNames>
    <definedName name="Ipod">Datos!$B$10:$D$24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5" i="2" l="1"/>
  <c r="E31" i="2"/>
  <c r="H31" i="2"/>
  <c r="E7" i="2"/>
  <c r="E11" i="2" s="1"/>
  <c r="E22" i="2" s="1"/>
  <c r="E5" i="2"/>
</calcChain>
</file>

<file path=xl/sharedStrings.xml><?xml version="1.0" encoding="utf-8"?>
<sst xmlns="http://schemas.openxmlformats.org/spreadsheetml/2006/main" count="101" uniqueCount="61">
  <si>
    <t>CODIGO</t>
  </si>
  <si>
    <t>DESCRIPCION</t>
  </si>
  <si>
    <t>PRECIO</t>
  </si>
  <si>
    <t>MB565ZY/A</t>
  </si>
  <si>
    <t>MB562ZY/A</t>
  </si>
  <si>
    <t>MB528E/A</t>
  </si>
  <si>
    <t>MB909ZY/A</t>
  </si>
  <si>
    <t>MB907ZY/A</t>
  </si>
  <si>
    <t>MB918ZY/A</t>
  </si>
  <si>
    <t>MB147ZY/A</t>
  </si>
  <si>
    <t>MB748ZY/A</t>
  </si>
  <si>
    <t>MB735ZY/A</t>
  </si>
  <si>
    <t>MB732ZY/A</t>
  </si>
  <si>
    <t>MB739ZY/A</t>
  </si>
  <si>
    <t>MB754ZY/A</t>
  </si>
  <si>
    <t>MB663ZY/A</t>
  </si>
  <si>
    <t>MA477ZY/A</t>
  </si>
  <si>
    <t>MA564ZY/A</t>
  </si>
  <si>
    <t>IPOD CLASSIC 120GB BLACK</t>
  </si>
  <si>
    <t>IPOD CLASSIC 120GB SILVER</t>
  </si>
  <si>
    <t>IPOD TOUCH 8GB (SIN CABLE USB)</t>
  </si>
  <si>
    <t>IPOD NANO 16GB PURPLE</t>
  </si>
  <si>
    <t>IPOD NANO 16GB PINK</t>
  </si>
  <si>
    <t>IPOD NANO 16GB BLACK</t>
  </si>
  <si>
    <t>IPOD CLASSIC 80GB BLACK</t>
  </si>
  <si>
    <t>IPOD NANO 8GB YELLOW</t>
  </si>
  <si>
    <t>IPOD NANO 8GB PINK</t>
  </si>
  <si>
    <t>IPOD NANO 8GB BLUE</t>
  </si>
  <si>
    <t>IPOD NANO 8GB PURPLE</t>
  </si>
  <si>
    <t>IPOD NANO 8GB BLACK</t>
  </si>
  <si>
    <t>IPOD NANO 4GB GREEN</t>
  </si>
  <si>
    <t>IPOD NANO 2GB SILVER</t>
  </si>
  <si>
    <t>IPOD SHUFFLE 1GB SILVER</t>
  </si>
  <si>
    <t>CODIGO DEL PRODUCTO</t>
  </si>
  <si>
    <t>PRODUCTO A COTIZAR</t>
  </si>
  <si>
    <t>Cantidad</t>
  </si>
  <si>
    <t>SUBTOTAL</t>
  </si>
  <si>
    <t>Descuentos Autorizados</t>
  </si>
  <si>
    <t>(para la negociacion)</t>
  </si>
  <si>
    <t>SUBTOTAL (Incluye descuentos)</t>
  </si>
  <si>
    <t>Descuento adicional</t>
  </si>
  <si>
    <t>SUBTOTAL (Incluye descuentos adicionales)</t>
  </si>
  <si>
    <t>Despacho</t>
  </si>
  <si>
    <t>Total Cotizacion</t>
  </si>
  <si>
    <t>NOMBRE</t>
  </si>
  <si>
    <t>Codigo</t>
  </si>
  <si>
    <t>Precio</t>
  </si>
  <si>
    <t>FORMULARIO DE BUSQUEDA DE PRODUCTOS</t>
  </si>
  <si>
    <t>Ingrese Código del Producto</t>
  </si>
  <si>
    <t>Nombre Producto</t>
  </si>
  <si>
    <t>Indicador Producto</t>
  </si>
  <si>
    <t>Indicador Beta Mercado</t>
  </si>
  <si>
    <t>Indicador Correjido</t>
  </si>
  <si>
    <t>N</t>
  </si>
  <si>
    <t>Posición del producto en la lista</t>
  </si>
  <si>
    <t>Descuentos</t>
  </si>
  <si>
    <t>N°</t>
  </si>
  <si>
    <t>Efectivo</t>
  </si>
  <si>
    <t>Tarjeta de Crédito</t>
  </si>
  <si>
    <t>Cuotas</t>
  </si>
  <si>
    <t>Numero del botón del primer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</si>
</sst>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&quot;$&quot;* #,##0_-;\-&quot;$&quot;* #,##0_-;_-&quot;$&quot;* &quot;-&quot;_-;_-@_-"/>
    <numFmt numFmtId="166" formatCode="&quot;$&quot;#,##0.00_);[Red]\(&quot;$&quot;#,##0.00\)"/>
    <numFmt numFmtId="167" formatCode="_ [$$-340A]* #,##0_ ;_ [$$-340A]* \-#,##0_ ;_ [$$-340A]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theme="3"/>
      </left>
      <right/>
      <top style="double">
        <color theme="3"/>
      </top>
      <bottom/>
      <diagonal/>
    </border>
    <border>
      <left/>
      <right/>
      <top style="double">
        <color theme="3"/>
      </top>
      <bottom/>
      <diagonal/>
    </border>
    <border>
      <left/>
      <right style="double">
        <color theme="3"/>
      </right>
      <top style="double">
        <color theme="3"/>
      </top>
      <bottom/>
      <diagonal/>
    </border>
    <border>
      <left style="double">
        <color theme="3"/>
      </left>
      <right/>
      <top/>
      <bottom/>
      <diagonal/>
    </border>
    <border>
      <left/>
      <right style="double">
        <color theme="3"/>
      </right>
      <top/>
      <bottom/>
      <diagonal/>
    </border>
    <border>
      <left style="double">
        <color theme="3"/>
      </left>
      <right/>
      <top/>
      <bottom style="double">
        <color theme="3"/>
      </bottom>
      <diagonal/>
    </border>
    <border>
      <left/>
      <right/>
      <top/>
      <bottom style="double">
        <color theme="3"/>
      </bottom>
      <diagonal/>
    </border>
    <border>
      <left/>
      <right style="double">
        <color theme="3"/>
      </right>
      <top/>
      <bottom style="double">
        <color theme="3"/>
      </bottom>
      <diagonal/>
    </border>
  </borders>
  <cellStyleXfs count="6">
    <xf numFmtId="0" fontId="0" fillId="0" borderId="0"/>
    <xf numFmtId="0" fontId="3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7" fontId="0" fillId="0" borderId="3" xfId="0" applyNumberFormat="1" applyBorder="1" applyAlignment="1">
      <alignment vertical="center"/>
    </xf>
    <xf numFmtId="0" fontId="3" fillId="0" borderId="0" xfId="1"/>
    <xf numFmtId="0" fontId="0" fillId="2" borderId="0" xfId="0" applyFill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5" xfId="0" applyFill="1" applyBorder="1" applyAlignment="1">
      <alignment vertical="center"/>
    </xf>
    <xf numFmtId="164" fontId="0" fillId="2" borderId="5" xfId="0" applyNumberFormat="1" applyFill="1" applyBorder="1" applyAlignment="1">
      <alignment vertical="center"/>
    </xf>
    <xf numFmtId="0" fontId="0" fillId="2" borderId="5" xfId="0" applyFill="1" applyBorder="1" applyAlignment="1">
      <alignment horizontal="right" vertical="center"/>
    </xf>
    <xf numFmtId="0" fontId="0" fillId="3" borderId="5" xfId="0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166" fontId="0" fillId="2" borderId="0" xfId="0" applyNumberFormat="1" applyFill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6" fillId="8" borderId="0" xfId="0" applyFont="1" applyFill="1" applyBorder="1" applyAlignment="1" applyProtection="1">
      <alignment horizontal="center" vertical="center"/>
      <protection locked="0"/>
    </xf>
    <xf numFmtId="0" fontId="0" fillId="6" borderId="6" xfId="0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7" borderId="0" xfId="0" applyFont="1" applyFill="1" applyBorder="1" applyAlignment="1">
      <alignment horizontal="right" vertical="center"/>
    </xf>
    <xf numFmtId="167" fontId="7" fillId="7" borderId="0" xfId="0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4" fillId="4" borderId="4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vertical="center"/>
    </xf>
    <xf numFmtId="42" fontId="3" fillId="0" borderId="1" xfId="1" applyNumberFormat="1" applyBorder="1" applyAlignment="1">
      <alignment vertical="center"/>
    </xf>
    <xf numFmtId="0" fontId="3" fillId="9" borderId="2" xfId="1" applyFill="1" applyBorder="1" applyAlignment="1">
      <alignment vertical="center"/>
    </xf>
    <xf numFmtId="0" fontId="3" fillId="0" borderId="2" xfId="1" applyBorder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right" vertical="center"/>
    </xf>
    <xf numFmtId="3" fontId="3" fillId="0" borderId="0" xfId="1" applyNumberFormat="1" applyAlignment="1">
      <alignment vertical="center"/>
    </xf>
    <xf numFmtId="9" fontId="0" fillId="0" borderId="0" xfId="0" applyNumberFormat="1" applyBorder="1" applyAlignment="1">
      <alignment vertical="center"/>
    </xf>
    <xf numFmtId="42" fontId="3" fillId="2" borderId="6" xfId="2" applyFont="1" applyFill="1" applyBorder="1" applyAlignment="1" applyProtection="1">
      <alignment horizontal="center" vertical="center"/>
      <protection locked="0"/>
    </xf>
    <xf numFmtId="0" fontId="9" fillId="11" borderId="2" xfId="5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2" xfId="0" applyNumberFormat="1" applyBorder="1" applyAlignment="1">
      <alignment vertical="center"/>
    </xf>
    <xf numFmtId="0" fontId="8" fillId="10" borderId="2" xfId="4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12" borderId="0" xfId="0" applyFill="1" applyAlignment="1">
      <alignment vertical="center"/>
    </xf>
    <xf numFmtId="167" fontId="0" fillId="0" borderId="0" xfId="0" applyNumberFormat="1" applyAlignment="1">
      <alignment vertical="center"/>
    </xf>
    <xf numFmtId="9" fontId="0" fillId="0" borderId="0" xfId="3" applyNumberFormat="1" applyFont="1" applyAlignment="1">
      <alignment vertical="center"/>
    </xf>
    <xf numFmtId="9" fontId="0" fillId="0" borderId="0" xfId="2" applyNumberFormat="1" applyFont="1" applyAlignment="1">
      <alignment vertical="center"/>
    </xf>
  </cellXfs>
  <cellStyles count="6">
    <cellStyle name="Incorrecto" xfId="4" builtinId="27"/>
    <cellStyle name="Moneda [0]" xfId="2" builtinId="7"/>
    <cellStyle name="Neutral" xfId="5" builtinId="28"/>
    <cellStyle name="Normal" xfId="0" builtinId="0"/>
    <cellStyle name="Normal 2" xfId="1" xr:uid="{6222C3B1-556E-450F-9AF4-A594319F5826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49495585012908"/>
          <c:y val="0.16039994386703629"/>
          <c:w val="0.87245687079284373"/>
          <c:h val="0.6832298571374078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280448"/>
        <c:axId val="2129274208"/>
      </c:barChart>
      <c:catAx>
        <c:axId val="21292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29274208"/>
        <c:crosses val="autoZero"/>
        <c:auto val="1"/>
        <c:lblAlgn val="ctr"/>
        <c:lblOffset val="100"/>
        <c:noMultiLvlLbl val="0"/>
      </c:catAx>
      <c:valAx>
        <c:axId val="21292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2928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G$6" fmlaRange="Datos!$B$10:$B$24" noThreeD="1" sel="13" val="7"/>
</file>

<file path=xl/ctrlProps/ctrlProp2.xml><?xml version="1.0" encoding="utf-8"?>
<formControlPr xmlns="http://schemas.microsoft.com/office/spreadsheetml/2009/9/main" objectType="Spin" dx="22" fmlaLink="$E$9" max="30000" page="10"/>
</file>

<file path=xl/ctrlProps/ctrlProp3.xml><?xml version="1.0" encoding="utf-8"?>
<formControlPr xmlns="http://schemas.microsoft.com/office/spreadsheetml/2009/9/main" objectType="Radio" checked="Checked" firstButton="1" fmlaLink="$H$15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firstButton="1" fmlaLink="$G$25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CheckBox" checked="Checked" fmlaLink="$H$33" lockText="1" noThreeD="1"/>
</file>

<file path=xl/ctrlProps/ctrlProp10.xml><?xml version="1.0" encoding="utf-8"?>
<formControlPr xmlns="http://schemas.microsoft.com/office/spreadsheetml/2009/9/main" objectType="Drop" dropStyle="combo" dx="22" fmlaLink="$J$5" fmlaRange="$B$4:$B$9" noThreeD="1" sel="5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1371600</xdr:colOff>
      <xdr:row>2</xdr:row>
      <xdr:rowOff>57150</xdr:rowOff>
    </xdr:from>
    <xdr:to>
      <xdr:col>2</xdr:col>
      <xdr:colOff>1597025</xdr:colOff>
      <xdr:row>5</xdr:row>
      <xdr:rowOff>79414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81200" y="438150"/>
          <a:ext cx="1866900" cy="86046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</xdr:row>
      <xdr:rowOff>114300</xdr:rowOff>
    </xdr:from>
    <xdr:to>
      <xdr:col>1</xdr:col>
      <xdr:colOff>942974</xdr:colOff>
      <xdr:row>5</xdr:row>
      <xdr:rowOff>70491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304800"/>
          <a:ext cx="942974" cy="107379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82827</xdr:colOff>
      <xdr:row>3</xdr:row>
      <xdr:rowOff>138044</xdr:rowOff>
    </xdr:from>
    <xdr:to>
      <xdr:col>3</xdr:col>
      <xdr:colOff>770836</xdr:colOff>
      <xdr:row>6</xdr:row>
      <xdr:rowOff>178061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6F4EB301-2758-4949-A73D-C64D90531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00131" y="833783"/>
          <a:ext cx="688009" cy="735756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7039</xdr:colOff>
          <xdr:row>5</xdr:row>
          <xdr:rowOff>16565</xdr:rowOff>
        </xdr:from>
        <xdr:to>
          <xdr:col>4</xdr:col>
          <xdr:colOff>2683564</xdr:colOff>
          <xdr:row>5</xdr:row>
          <xdr:rowOff>207065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4556</xdr:colOff>
          <xdr:row>8</xdr:row>
          <xdr:rowOff>8282</xdr:rowOff>
        </xdr:from>
        <xdr:to>
          <xdr:col>5</xdr:col>
          <xdr:colOff>637760</xdr:colOff>
          <xdr:row>8</xdr:row>
          <xdr:rowOff>223631</xdr:rowOff>
        </xdr:to>
        <xdr:sp macro="" textlink="">
          <xdr:nvSpPr>
            <xdr:cNvPr id="2058" name="Spinner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19050</xdr:rowOff>
        </xdr:from>
        <xdr:to>
          <xdr:col>5</xdr:col>
          <xdr:colOff>9525</xdr:colOff>
          <xdr:row>15</xdr:row>
          <xdr:rowOff>9525</xdr:rowOff>
        </xdr:to>
        <xdr:sp macro="" textlink="">
          <xdr:nvSpPr>
            <xdr:cNvPr id="2059" name="Option 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5% - Si compra 10 o más productos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46383</xdr:colOff>
          <xdr:row>14</xdr:row>
          <xdr:rowOff>210792</xdr:rowOff>
        </xdr:from>
        <xdr:to>
          <xdr:col>5</xdr:col>
          <xdr:colOff>57979</xdr:colOff>
          <xdr:row>15</xdr:row>
          <xdr:rowOff>201267</xdr:rowOff>
        </xdr:to>
        <xdr:sp macro="" textlink="">
          <xdr:nvSpPr>
            <xdr:cNvPr id="2060" name="Option Butto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2% - Si compra menos de 10 productos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219075</xdr:rowOff>
        </xdr:from>
        <xdr:to>
          <xdr:col>5</xdr:col>
          <xdr:colOff>28575</xdr:colOff>
          <xdr:row>24</xdr:row>
          <xdr:rowOff>209550</xdr:rowOff>
        </xdr:to>
        <xdr:sp macro="" textlink="">
          <xdr:nvSpPr>
            <xdr:cNvPr id="2062" name="Option Butto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Pago en Efectivo  - 3%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7455</xdr:colOff>
          <xdr:row>25</xdr:row>
          <xdr:rowOff>2485</xdr:rowOff>
        </xdr:from>
        <xdr:to>
          <xdr:col>5</xdr:col>
          <xdr:colOff>45141</xdr:colOff>
          <xdr:row>25</xdr:row>
          <xdr:rowOff>224873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Tarjeta de Crédito - 5%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7454</xdr:colOff>
          <xdr:row>25</xdr:row>
          <xdr:rowOff>224873</xdr:rowOff>
        </xdr:from>
        <xdr:to>
          <xdr:col>5</xdr:col>
          <xdr:colOff>0</xdr:colOff>
          <xdr:row>26</xdr:row>
          <xdr:rowOff>215348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Cuotas - 0%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22</xdr:row>
          <xdr:rowOff>76200</xdr:rowOff>
        </xdr:from>
        <xdr:to>
          <xdr:col>5</xdr:col>
          <xdr:colOff>733425</xdr:colOff>
          <xdr:row>29</xdr:row>
          <xdr:rowOff>200025</xdr:rowOff>
        </xdr:to>
        <xdr:sp macro="" textlink="">
          <xdr:nvSpPr>
            <xdr:cNvPr id="2067" name="Group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Cuadro de grupo 19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32</xdr:row>
          <xdr:rowOff>0</xdr:rowOff>
        </xdr:from>
        <xdr:to>
          <xdr:col>4</xdr:col>
          <xdr:colOff>2638425</xdr:colOff>
          <xdr:row>33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Despacho + $10.000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359019</xdr:colOff>
      <xdr:row>15</xdr:row>
      <xdr:rowOff>43960</xdr:rowOff>
    </xdr:from>
    <xdr:to>
      <xdr:col>8</xdr:col>
      <xdr:colOff>271095</xdr:colOff>
      <xdr:row>30</xdr:row>
      <xdr:rowOff>43961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730009-8253-EF4D-B625-1E67CC4EB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476250</xdr:colOff>
      <xdr:row>15</xdr:row>
      <xdr:rowOff>14653</xdr:rowOff>
    </xdr:from>
    <xdr:to>
      <xdr:col>5</xdr:col>
      <xdr:colOff>282085</xdr:colOff>
      <xdr:row>30</xdr:row>
      <xdr:rowOff>51288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7BAC37-E0A1-1649-A007-8FFB74568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C51D-0CAE-4738-ABB4-A7A4DF0EA0E6}">
  <sheetPr codeName="Hoja1"/>
  <dimension ref="B3:B34"/>
  <sheetViews>
    <sheetView showGridLines="0" workbookViewId="0">
      <selection activeCell="D14" sqref="D14"/>
    </sheetView>
  </sheetViews>
  <sheetFormatPr baseColWidth="10" defaultColWidth="12.42578125" defaultRowHeight="15" x14ac:dyDescent="0.25"/>
  <cols>
    <col min="1" max="1" width="12.42578125" style="4"/>
    <col min="2" max="2" width="26.85546875" style="4" bestFit="1" customWidth="1"/>
    <col min="3" max="16384" width="12.42578125" style="4"/>
  </cols>
  <sheetData>
    <row r="3" spans="2:2" x14ac:dyDescent="0.25">
      <c r="B3" s="6" t="s">
        <v>1</v>
      </c>
    </row>
    <row r="4" spans="2:2" x14ac:dyDescent="0.25">
      <c r="B4" s="8" t="s">
        <v>31</v>
      </c>
    </row>
    <row r="5" spans="2:2" x14ac:dyDescent="0.25">
      <c r="B5" s="11" t="s">
        <v>32</v>
      </c>
    </row>
    <row r="6" spans="2:2" x14ac:dyDescent="0.25">
      <c r="B6" s="11" t="s">
        <v>24</v>
      </c>
    </row>
    <row r="7" spans="2:2" x14ac:dyDescent="0.25">
      <c r="B7" s="11" t="s">
        <v>20</v>
      </c>
    </row>
    <row r="8" spans="2:2" x14ac:dyDescent="0.25">
      <c r="B8" s="8" t="s">
        <v>19</v>
      </c>
    </row>
    <row r="9" spans="2:2" x14ac:dyDescent="0.25">
      <c r="B9" s="11" t="s">
        <v>18</v>
      </c>
    </row>
    <row r="10" spans="2:2" x14ac:dyDescent="0.25">
      <c r="B10" s="11" t="s">
        <v>30</v>
      </c>
    </row>
    <row r="11" spans="2:2" x14ac:dyDescent="0.25">
      <c r="B11" s="8" t="s">
        <v>27</v>
      </c>
    </row>
    <row r="12" spans="2:2" x14ac:dyDescent="0.25">
      <c r="B12" s="11" t="s">
        <v>26</v>
      </c>
    </row>
    <row r="13" spans="2:2" x14ac:dyDescent="0.25">
      <c r="B13" s="11" t="s">
        <v>28</v>
      </c>
    </row>
    <row r="14" spans="2:2" x14ac:dyDescent="0.25">
      <c r="B14" s="8" t="s">
        <v>25</v>
      </c>
    </row>
    <row r="15" spans="2:2" x14ac:dyDescent="0.25">
      <c r="B15" s="11" t="s">
        <v>29</v>
      </c>
    </row>
    <row r="16" spans="2:2" x14ac:dyDescent="0.25">
      <c r="B16" s="11" t="s">
        <v>22</v>
      </c>
    </row>
    <row r="17" spans="2:2" x14ac:dyDescent="0.25">
      <c r="B17" s="8" t="s">
        <v>21</v>
      </c>
    </row>
    <row r="18" spans="2:2" x14ac:dyDescent="0.25">
      <c r="B18" s="8" t="s">
        <v>23</v>
      </c>
    </row>
    <row r="19" spans="2:2" x14ac:dyDescent="0.25">
      <c r="B19" s="6" t="s">
        <v>1</v>
      </c>
    </row>
    <row r="20" spans="2:2" x14ac:dyDescent="0.25">
      <c r="B20" s="8" t="s">
        <v>31</v>
      </c>
    </row>
    <row r="21" spans="2:2" x14ac:dyDescent="0.25">
      <c r="B21" s="11" t="s">
        <v>32</v>
      </c>
    </row>
    <row r="22" spans="2:2" x14ac:dyDescent="0.25">
      <c r="B22" s="11" t="s">
        <v>24</v>
      </c>
    </row>
    <row r="23" spans="2:2" x14ac:dyDescent="0.25">
      <c r="B23" s="11" t="s">
        <v>20</v>
      </c>
    </row>
    <row r="24" spans="2:2" x14ac:dyDescent="0.25">
      <c r="B24" s="8" t="s">
        <v>19</v>
      </c>
    </row>
    <row r="25" spans="2:2" x14ac:dyDescent="0.25">
      <c r="B25" s="11" t="s">
        <v>18</v>
      </c>
    </row>
    <row r="26" spans="2:2" x14ac:dyDescent="0.25">
      <c r="B26" s="11" t="s">
        <v>30</v>
      </c>
    </row>
    <row r="27" spans="2:2" x14ac:dyDescent="0.25">
      <c r="B27" s="8" t="s">
        <v>27</v>
      </c>
    </row>
    <row r="28" spans="2:2" x14ac:dyDescent="0.25">
      <c r="B28" s="11" t="s">
        <v>26</v>
      </c>
    </row>
    <row r="29" spans="2:2" x14ac:dyDescent="0.25">
      <c r="B29" s="11" t="s">
        <v>28</v>
      </c>
    </row>
    <row r="30" spans="2:2" x14ac:dyDescent="0.25">
      <c r="B30" s="8" t="s">
        <v>25</v>
      </c>
    </row>
    <row r="31" spans="2:2" x14ac:dyDescent="0.25">
      <c r="B31" s="11" t="s">
        <v>29</v>
      </c>
    </row>
    <row r="32" spans="2:2" x14ac:dyDescent="0.25">
      <c r="B32" s="11" t="s">
        <v>22</v>
      </c>
    </row>
    <row r="33" spans="2:2" x14ac:dyDescent="0.25">
      <c r="B33" s="8" t="s">
        <v>21</v>
      </c>
    </row>
    <row r="34" spans="2:2" x14ac:dyDescent="0.25">
      <c r="B34" s="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F31"/>
  <sheetViews>
    <sheetView showGridLines="0" topLeftCell="A8" workbookViewId="0">
      <selection activeCell="A9" sqref="A9"/>
    </sheetView>
  </sheetViews>
  <sheetFormatPr baseColWidth="10" defaultColWidth="9.140625" defaultRowHeight="21.95" customHeight="1" x14ac:dyDescent="0.25"/>
  <cols>
    <col min="1" max="1" width="9.140625" style="1"/>
    <col min="2" max="2" width="26.85546875" style="1" bestFit="1" customWidth="1"/>
    <col min="3" max="4" width="25.7109375" style="1" customWidth="1"/>
    <col min="5" max="6" width="9.140625" style="1"/>
    <col min="7" max="7" width="11.85546875" style="1" bestFit="1" customWidth="1"/>
    <col min="8" max="16384" width="9.140625" style="1"/>
  </cols>
  <sheetData>
    <row r="1" spans="1:6" ht="21.95" customHeight="1" x14ac:dyDescent="0.25">
      <c r="A1" s="5"/>
      <c r="B1" s="5"/>
      <c r="C1" s="5"/>
      <c r="D1" s="5"/>
    </row>
    <row r="2" spans="1:6" ht="21.95" customHeight="1" x14ac:dyDescent="0.25">
      <c r="A2" s="5"/>
      <c r="B2" s="5"/>
      <c r="C2" s="5"/>
      <c r="D2" s="5"/>
    </row>
    <row r="3" spans="1:6" ht="21.95" customHeight="1" x14ac:dyDescent="0.25">
      <c r="A3" s="5"/>
      <c r="B3" s="5"/>
      <c r="C3" s="5"/>
      <c r="D3" s="5"/>
    </row>
    <row r="4" spans="1:6" ht="21.95" customHeight="1" x14ac:dyDescent="0.25">
      <c r="A4" s="5"/>
      <c r="B4" s="5"/>
      <c r="C4" s="5"/>
      <c r="D4" s="5"/>
    </row>
    <row r="5" spans="1:6" ht="21.95" customHeight="1" x14ac:dyDescent="0.25">
      <c r="A5" s="5"/>
      <c r="B5" s="5"/>
      <c r="C5" s="5"/>
      <c r="D5" s="5"/>
    </row>
    <row r="6" spans="1:6" ht="21.95" customHeight="1" x14ac:dyDescent="0.25">
      <c r="A6" s="5"/>
      <c r="B6" s="5"/>
      <c r="C6" s="5"/>
      <c r="D6" s="5"/>
    </row>
    <row r="7" spans="1:6" ht="21.95" customHeight="1" x14ac:dyDescent="0.25">
      <c r="A7" s="5"/>
      <c r="B7" s="5"/>
      <c r="C7" s="5"/>
      <c r="D7" s="5"/>
    </row>
    <row r="8" spans="1:6" ht="21.95" customHeight="1" x14ac:dyDescent="0.25">
      <c r="A8" s="5"/>
      <c r="B8" s="5"/>
      <c r="C8" s="5"/>
      <c r="D8" s="5"/>
    </row>
    <row r="9" spans="1:6" ht="21.95" customHeight="1" x14ac:dyDescent="0.25">
      <c r="A9" s="5" t="s">
        <v>53</v>
      </c>
      <c r="B9" s="6" t="s">
        <v>1</v>
      </c>
      <c r="C9" s="6" t="s">
        <v>2</v>
      </c>
      <c r="D9" s="6" t="s">
        <v>0</v>
      </c>
      <c r="F9" s="7"/>
    </row>
    <row r="10" spans="1:6" ht="21.95" customHeight="1" x14ac:dyDescent="0.25">
      <c r="A10" s="5">
        <v>1</v>
      </c>
      <c r="B10" s="8" t="s">
        <v>31</v>
      </c>
      <c r="C10" s="9">
        <v>59990</v>
      </c>
      <c r="D10" s="10" t="s">
        <v>16</v>
      </c>
    </row>
    <row r="11" spans="1:6" ht="21.95" customHeight="1" x14ac:dyDescent="0.25">
      <c r="A11" s="5">
        <v>2</v>
      </c>
      <c r="B11" s="11" t="s">
        <v>32</v>
      </c>
      <c r="C11" s="12">
        <v>29990</v>
      </c>
      <c r="D11" s="13" t="s">
        <v>17</v>
      </c>
    </row>
    <row r="12" spans="1:6" ht="21.95" customHeight="1" x14ac:dyDescent="0.25">
      <c r="A12" s="5">
        <v>3</v>
      </c>
      <c r="B12" s="11" t="s">
        <v>24</v>
      </c>
      <c r="C12" s="12">
        <v>149999</v>
      </c>
      <c r="D12" s="13" t="s">
        <v>9</v>
      </c>
    </row>
    <row r="13" spans="1:6" ht="21.95" customHeight="1" x14ac:dyDescent="0.25">
      <c r="A13" s="5">
        <v>4</v>
      </c>
      <c r="B13" s="11" t="s">
        <v>20</v>
      </c>
      <c r="C13" s="12">
        <v>209999</v>
      </c>
      <c r="D13" s="13" t="s">
        <v>5</v>
      </c>
    </row>
    <row r="14" spans="1:6" ht="21.95" customHeight="1" x14ac:dyDescent="0.25">
      <c r="A14" s="5">
        <v>5</v>
      </c>
      <c r="B14" s="8" t="s">
        <v>19</v>
      </c>
      <c r="C14" s="9">
        <v>219999</v>
      </c>
      <c r="D14" s="10" t="s">
        <v>4</v>
      </c>
    </row>
    <row r="15" spans="1:6" ht="21.95" customHeight="1" x14ac:dyDescent="0.25">
      <c r="A15" s="5">
        <v>6</v>
      </c>
      <c r="B15" s="11" t="s">
        <v>18</v>
      </c>
      <c r="C15" s="12">
        <v>219999</v>
      </c>
      <c r="D15" s="13" t="s">
        <v>3</v>
      </c>
    </row>
    <row r="16" spans="1:6" ht="21.95" customHeight="1" x14ac:dyDescent="0.25">
      <c r="A16" s="5">
        <v>7</v>
      </c>
      <c r="B16" s="11" t="s">
        <v>30</v>
      </c>
      <c r="C16" s="12">
        <v>89990</v>
      </c>
      <c r="D16" s="13" t="s">
        <v>15</v>
      </c>
    </row>
    <row r="17" spans="1:4" ht="21.95" customHeight="1" x14ac:dyDescent="0.25">
      <c r="A17" s="5">
        <v>8</v>
      </c>
      <c r="B17" s="8" t="s">
        <v>27</v>
      </c>
      <c r="C17" s="9">
        <v>99990</v>
      </c>
      <c r="D17" s="10" t="s">
        <v>12</v>
      </c>
    </row>
    <row r="18" spans="1:4" ht="21.95" customHeight="1" x14ac:dyDescent="0.25">
      <c r="A18" s="5">
        <v>9</v>
      </c>
      <c r="B18" s="11" t="s">
        <v>26</v>
      </c>
      <c r="C18" s="12">
        <v>99990</v>
      </c>
      <c r="D18" s="13" t="s">
        <v>11</v>
      </c>
    </row>
    <row r="19" spans="1:4" ht="21.95" customHeight="1" x14ac:dyDescent="0.25">
      <c r="A19" s="5">
        <v>10</v>
      </c>
      <c r="B19" s="11" t="s">
        <v>28</v>
      </c>
      <c r="C19" s="12">
        <v>99990</v>
      </c>
      <c r="D19" s="13" t="s">
        <v>13</v>
      </c>
    </row>
    <row r="20" spans="1:4" ht="21.95" customHeight="1" x14ac:dyDescent="0.25">
      <c r="A20" s="5">
        <v>11</v>
      </c>
      <c r="B20" s="8" t="s">
        <v>25</v>
      </c>
      <c r="C20" s="9">
        <v>99990</v>
      </c>
      <c r="D20" s="10" t="s">
        <v>10</v>
      </c>
    </row>
    <row r="21" spans="1:4" ht="21.95" customHeight="1" x14ac:dyDescent="0.25">
      <c r="A21" s="5">
        <v>12</v>
      </c>
      <c r="B21" s="11" t="s">
        <v>29</v>
      </c>
      <c r="C21" s="12">
        <v>99990</v>
      </c>
      <c r="D21" s="13" t="s">
        <v>14</v>
      </c>
    </row>
    <row r="22" spans="1:4" ht="21.95" customHeight="1" x14ac:dyDescent="0.25">
      <c r="A22" s="5">
        <v>13</v>
      </c>
      <c r="B22" s="11" t="s">
        <v>22</v>
      </c>
      <c r="C22" s="12">
        <v>159999</v>
      </c>
      <c r="D22" s="13" t="s">
        <v>7</v>
      </c>
    </row>
    <row r="23" spans="1:4" ht="21.95" customHeight="1" x14ac:dyDescent="0.25">
      <c r="A23" s="5">
        <v>14</v>
      </c>
      <c r="B23" s="8" t="s">
        <v>21</v>
      </c>
      <c r="C23" s="9">
        <v>159999</v>
      </c>
      <c r="D23" s="10" t="s">
        <v>6</v>
      </c>
    </row>
    <row r="24" spans="1:4" ht="21.95" customHeight="1" x14ac:dyDescent="0.25">
      <c r="A24" s="5">
        <v>15</v>
      </c>
      <c r="B24" s="8" t="s">
        <v>23</v>
      </c>
      <c r="C24" s="9">
        <v>159999</v>
      </c>
      <c r="D24" s="10" t="s">
        <v>8</v>
      </c>
    </row>
    <row r="25" spans="1:4" ht="21.95" customHeight="1" x14ac:dyDescent="0.25">
      <c r="A25" s="5"/>
      <c r="B25" s="5"/>
      <c r="C25" s="5"/>
      <c r="D25" s="5"/>
    </row>
    <row r="26" spans="1:4" ht="21.95" customHeight="1" x14ac:dyDescent="0.25">
      <c r="A26" s="5"/>
      <c r="B26" s="5"/>
      <c r="C26" s="5"/>
      <c r="D26" s="5"/>
    </row>
    <row r="27" spans="1:4" ht="21.95" customHeight="1" x14ac:dyDescent="0.25">
      <c r="A27" s="5"/>
      <c r="B27" s="5"/>
      <c r="C27" s="14"/>
      <c r="D27" s="5"/>
    </row>
    <row r="28" spans="1:4" ht="21.95" customHeight="1" x14ac:dyDescent="0.25">
      <c r="A28" s="5"/>
      <c r="B28" s="5"/>
      <c r="C28" s="14"/>
      <c r="D28" s="5"/>
    </row>
    <row r="29" spans="1:4" ht="21.95" customHeight="1" x14ac:dyDescent="0.25">
      <c r="A29" s="5"/>
      <c r="B29" s="5"/>
      <c r="C29" s="14"/>
      <c r="D29" s="5"/>
    </row>
    <row r="30" spans="1:4" ht="21.95" customHeight="1" x14ac:dyDescent="0.25">
      <c r="A30" s="5"/>
      <c r="B30" s="5"/>
      <c r="C30" s="14"/>
      <c r="D30" s="5"/>
    </row>
    <row r="31" spans="1:4" ht="21.95" customHeight="1" x14ac:dyDescent="0.25">
      <c r="A31" s="5"/>
    </row>
  </sheetData>
  <pageMargins left="0.7" right="0.7" top="0.75" bottom="0.75" header="0.3" footer="0.3"/>
  <pageSetup orientation="portrait" horizontalDpi="1200" verticalDpi="12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C2:O39"/>
  <sheetViews>
    <sheetView showGridLines="0" tabSelected="1" topLeftCell="B17" zoomScale="115" zoomScaleNormal="115" workbookViewId="0">
      <selection activeCell="E35" sqref="E35"/>
    </sheetView>
  </sheetViews>
  <sheetFormatPr baseColWidth="10" defaultColWidth="11.42578125" defaultRowHeight="18" customHeight="1" x14ac:dyDescent="0.25"/>
  <cols>
    <col min="1" max="3" width="11.42578125" style="1"/>
    <col min="4" max="4" width="38.140625" style="1" customWidth="1"/>
    <col min="5" max="5" width="40.28515625" style="1" customWidth="1"/>
    <col min="6" max="7" width="11.42578125" style="1" customWidth="1"/>
    <col min="8" max="8" width="29.42578125" style="1" bestFit="1" customWidth="1"/>
    <col min="9" max="9" width="11.42578125" style="1" customWidth="1"/>
    <col min="10" max="10" width="17.85546875" style="1" bestFit="1" customWidth="1"/>
    <col min="11" max="11" width="11.42578125" style="1" customWidth="1"/>
    <col min="12" max="16384" width="11.42578125" style="1"/>
  </cols>
  <sheetData>
    <row r="2" spans="3:15" ht="18" customHeight="1" thickBot="1" x14ac:dyDescent="0.3"/>
    <row r="3" spans="3:15" ht="18" customHeight="1" thickTop="1" x14ac:dyDescent="0.25">
      <c r="C3" s="23"/>
      <c r="D3" s="24"/>
      <c r="E3" s="24"/>
      <c r="F3" s="25"/>
    </row>
    <row r="4" spans="3:15" ht="18" customHeight="1" x14ac:dyDescent="0.25">
      <c r="C4" s="26"/>
      <c r="D4" s="15"/>
      <c r="E4" s="15"/>
      <c r="F4" s="27"/>
      <c r="K4" s="18"/>
      <c r="L4" s="2"/>
      <c r="O4" s="2"/>
    </row>
    <row r="5" spans="3:15" ht="18" customHeight="1" x14ac:dyDescent="0.25">
      <c r="C5" s="28"/>
      <c r="D5" s="16" t="s">
        <v>33</v>
      </c>
      <c r="E5" s="22" t="str">
        <f>VLOOKUP(G6,Datos!$A$10:$D$24,4,FALSE)</f>
        <v>MB907ZY/A</v>
      </c>
      <c r="F5" s="27"/>
      <c r="K5" s="18"/>
      <c r="L5" s="2"/>
      <c r="O5" s="2"/>
    </row>
    <row r="6" spans="3:15" ht="18" customHeight="1" x14ac:dyDescent="0.25">
      <c r="C6" s="28"/>
      <c r="D6" s="17" t="s">
        <v>34</v>
      </c>
      <c r="E6" s="21"/>
      <c r="F6" s="15"/>
      <c r="G6" s="49">
        <v>13</v>
      </c>
      <c r="H6" s="50" t="s">
        <v>54</v>
      </c>
      <c r="L6" s="2"/>
    </row>
    <row r="7" spans="3:15" ht="18" customHeight="1" x14ac:dyDescent="0.25">
      <c r="C7" s="28"/>
      <c r="D7" s="16" t="s">
        <v>2</v>
      </c>
      <c r="E7" s="45">
        <f>VLOOKUP(G6,Datos!$A$10:$D$24,3,FALSE)</f>
        <v>159999</v>
      </c>
      <c r="F7" s="27"/>
      <c r="K7" s="18"/>
      <c r="L7" s="19"/>
    </row>
    <row r="8" spans="3:15" ht="18" customHeight="1" x14ac:dyDescent="0.25">
      <c r="C8" s="28"/>
      <c r="D8" s="15"/>
      <c r="E8" s="15"/>
      <c r="F8" s="27"/>
      <c r="K8" s="18"/>
      <c r="L8" s="19"/>
    </row>
    <row r="9" spans="3:15" ht="18" customHeight="1" x14ac:dyDescent="0.25">
      <c r="C9" s="28"/>
      <c r="D9" s="16" t="s">
        <v>35</v>
      </c>
      <c r="E9" s="20">
        <v>1</v>
      </c>
      <c r="F9" s="27"/>
      <c r="K9" s="18"/>
      <c r="L9" s="19"/>
    </row>
    <row r="10" spans="3:15" ht="18" customHeight="1" x14ac:dyDescent="0.25">
      <c r="C10" s="28"/>
      <c r="D10" s="16"/>
      <c r="E10" s="15"/>
      <c r="F10" s="27"/>
    </row>
    <row r="11" spans="3:15" ht="18" customHeight="1" x14ac:dyDescent="0.25">
      <c r="C11" s="28"/>
      <c r="D11" s="29" t="s">
        <v>36</v>
      </c>
      <c r="E11" s="30">
        <f>$E$7*$E$9</f>
        <v>159999</v>
      </c>
      <c r="F11" s="27"/>
    </row>
    <row r="12" spans="3:15" ht="18" customHeight="1" x14ac:dyDescent="0.25">
      <c r="C12" s="28"/>
      <c r="D12" s="16"/>
      <c r="E12" s="15"/>
      <c r="F12" s="27"/>
      <c r="K12" s="18"/>
      <c r="L12" s="19"/>
    </row>
    <row r="13" spans="3:15" ht="18" customHeight="1" x14ac:dyDescent="0.25">
      <c r="C13" s="28"/>
      <c r="D13" s="15"/>
      <c r="E13" s="15"/>
      <c r="F13" s="27"/>
      <c r="K13" s="18"/>
      <c r="L13" s="19"/>
    </row>
    <row r="14" spans="3:15" ht="18" customHeight="1" x14ac:dyDescent="0.25">
      <c r="C14" s="28"/>
      <c r="D14" s="15"/>
      <c r="E14" s="15"/>
      <c r="F14" s="27"/>
    </row>
    <row r="15" spans="3:15" ht="18" customHeight="1" x14ac:dyDescent="0.25">
      <c r="C15" s="28"/>
      <c r="D15" s="16" t="s">
        <v>37</v>
      </c>
      <c r="E15" s="44"/>
      <c r="F15" s="27"/>
      <c r="H15" s="47">
        <v>1</v>
      </c>
      <c r="I15" s="1" t="s">
        <v>60</v>
      </c>
    </row>
    <row r="16" spans="3:15" ht="18" customHeight="1" x14ac:dyDescent="0.25">
      <c r="C16" s="28"/>
      <c r="D16" s="16" t="s">
        <v>38</v>
      </c>
      <c r="E16" s="15"/>
      <c r="F16" s="27"/>
    </row>
    <row r="17" spans="3:9" ht="18" customHeight="1" x14ac:dyDescent="0.25">
      <c r="C17" s="28"/>
      <c r="D17" s="15"/>
      <c r="E17" s="15"/>
      <c r="F17" s="27"/>
    </row>
    <row r="18" spans="3:9" ht="18" customHeight="1" x14ac:dyDescent="0.25">
      <c r="C18" s="28"/>
      <c r="D18" s="15"/>
      <c r="E18" s="15"/>
      <c r="F18" s="27"/>
    </row>
    <row r="19" spans="3:9" ht="18" customHeight="1" x14ac:dyDescent="0.25">
      <c r="C19" s="28"/>
      <c r="D19" s="15"/>
      <c r="E19" s="15"/>
      <c r="F19" s="27"/>
    </row>
    <row r="20" spans="3:9" ht="18" customHeight="1" x14ac:dyDescent="0.25">
      <c r="C20" s="28"/>
      <c r="D20" s="15"/>
      <c r="E20" s="15"/>
      <c r="F20" s="27"/>
    </row>
    <row r="21" spans="3:9" ht="18" customHeight="1" x14ac:dyDescent="0.25">
      <c r="C21" s="28"/>
      <c r="D21" s="15"/>
      <c r="E21" s="15"/>
      <c r="F21" s="27"/>
    </row>
    <row r="22" spans="3:9" ht="18" customHeight="1" x14ac:dyDescent="0.25">
      <c r="C22" s="28"/>
      <c r="D22" s="29" t="s">
        <v>39</v>
      </c>
      <c r="E22" s="30">
        <f>$E$11-(VLOOKUP($H$15,$G$22:$H$24,2,FALSE)*$E$11)</f>
        <v>151999.04999999999</v>
      </c>
      <c r="F22" s="15"/>
      <c r="G22" s="46" t="s">
        <v>56</v>
      </c>
      <c r="H22" s="46" t="s">
        <v>55</v>
      </c>
    </row>
    <row r="23" spans="3:9" ht="18" customHeight="1" x14ac:dyDescent="0.25">
      <c r="C23" s="28"/>
      <c r="D23" s="15"/>
      <c r="E23" s="15"/>
      <c r="F23" s="15"/>
      <c r="G23" s="47">
        <v>1</v>
      </c>
      <c r="H23" s="48">
        <v>0.05</v>
      </c>
    </row>
    <row r="24" spans="3:9" ht="18" customHeight="1" x14ac:dyDescent="0.25">
      <c r="C24" s="28"/>
      <c r="D24" s="15"/>
      <c r="E24" s="15"/>
      <c r="F24" s="15"/>
      <c r="G24" s="47">
        <v>2</v>
      </c>
      <c r="H24" s="48">
        <v>0.02</v>
      </c>
    </row>
    <row r="25" spans="3:9" ht="18" customHeight="1" x14ac:dyDescent="0.25">
      <c r="C25" s="28"/>
      <c r="D25" s="15" t="s">
        <v>40</v>
      </c>
      <c r="E25" s="15"/>
      <c r="F25" s="27"/>
      <c r="G25" s="51">
        <v>1</v>
      </c>
    </row>
    <row r="26" spans="3:9" ht="18" customHeight="1" x14ac:dyDescent="0.25">
      <c r="C26" s="28"/>
      <c r="D26" s="15"/>
      <c r="E26" s="15"/>
      <c r="F26" s="27"/>
    </row>
    <row r="27" spans="3:9" ht="18" customHeight="1" x14ac:dyDescent="0.25">
      <c r="C27" s="28"/>
      <c r="D27" s="15"/>
      <c r="E27" s="15"/>
      <c r="F27" s="15"/>
      <c r="G27" s="47">
        <v>1</v>
      </c>
      <c r="H27" s="47" t="s">
        <v>57</v>
      </c>
      <c r="I27" s="48">
        <v>0.03</v>
      </c>
    </row>
    <row r="28" spans="3:9" ht="18" customHeight="1" x14ac:dyDescent="0.25">
      <c r="C28" s="28"/>
      <c r="D28" s="15"/>
      <c r="E28" s="15"/>
      <c r="F28" s="15"/>
      <c r="G28" s="47">
        <v>2</v>
      </c>
      <c r="H28" s="47" t="s">
        <v>58</v>
      </c>
      <c r="I28" s="48">
        <v>0.05</v>
      </c>
    </row>
    <row r="29" spans="3:9" ht="18" customHeight="1" x14ac:dyDescent="0.25">
      <c r="C29" s="28"/>
      <c r="D29" s="15"/>
      <c r="E29" s="15"/>
      <c r="F29" s="15"/>
      <c r="G29" s="47">
        <v>3</v>
      </c>
      <c r="H29" s="47" t="s">
        <v>59</v>
      </c>
      <c r="I29" s="48">
        <v>0</v>
      </c>
    </row>
    <row r="30" spans="3:9" ht="18" customHeight="1" x14ac:dyDescent="0.25">
      <c r="C30" s="28"/>
      <c r="D30" s="15"/>
      <c r="E30" s="15"/>
      <c r="F30" s="27"/>
    </row>
    <row r="31" spans="3:9" ht="18" customHeight="1" x14ac:dyDescent="0.25">
      <c r="C31" s="28"/>
      <c r="D31" s="29" t="s">
        <v>41</v>
      </c>
      <c r="E31" s="30">
        <f>$E$22-_xlfn.XLOOKUP($G$25,$G$27:$G$29,$I$27:$I$29,,0)*$E$22</f>
        <v>147439.0785</v>
      </c>
      <c r="F31" s="27"/>
      <c r="G31" s="52"/>
      <c r="H31" s="53">
        <f>+_xlfn.XLOOKUP(G$25,$G$27:$G$29,I27:I29,,0)</f>
        <v>0.03</v>
      </c>
    </row>
    <row r="32" spans="3:9" ht="18" customHeight="1" x14ac:dyDescent="0.25">
      <c r="C32" s="28"/>
      <c r="D32" s="15"/>
      <c r="E32" s="15"/>
      <c r="F32" s="27"/>
      <c r="H32" s="54"/>
    </row>
    <row r="33" spans="3:8" ht="18" customHeight="1" x14ac:dyDescent="0.25">
      <c r="C33" s="28"/>
      <c r="D33" s="15" t="s">
        <v>42</v>
      </c>
      <c r="E33" s="15"/>
      <c r="F33" s="27"/>
      <c r="H33" s="1" t="b">
        <v>1</v>
      </c>
    </row>
    <row r="34" spans="3:8" ht="18" customHeight="1" x14ac:dyDescent="0.25">
      <c r="C34" s="28"/>
      <c r="D34" s="15"/>
      <c r="E34" s="15"/>
      <c r="F34" s="27"/>
    </row>
    <row r="35" spans="3:8" ht="18" customHeight="1" thickBot="1" x14ac:dyDescent="0.3">
      <c r="C35" s="28"/>
      <c r="D35" s="15" t="s">
        <v>43</v>
      </c>
      <c r="E35" s="3">
        <f>E31+IF(H33=TRUE,10000,0)</f>
        <v>157439.0785</v>
      </c>
      <c r="F35" s="27"/>
    </row>
    <row r="36" spans="3:8" ht="18" customHeight="1" thickTop="1" x14ac:dyDescent="0.25">
      <c r="C36" s="28"/>
      <c r="D36" s="15"/>
      <c r="E36" s="15"/>
      <c r="F36" s="27"/>
    </row>
    <row r="37" spans="3:8" ht="18" customHeight="1" x14ac:dyDescent="0.25">
      <c r="C37" s="28"/>
      <c r="D37" s="15"/>
      <c r="E37" s="15"/>
      <c r="F37" s="27"/>
    </row>
    <row r="38" spans="3:8" ht="18" customHeight="1" thickBot="1" x14ac:dyDescent="0.3">
      <c r="C38" s="31"/>
      <c r="D38" s="32"/>
      <c r="E38" s="32"/>
      <c r="F38" s="33"/>
    </row>
    <row r="39" spans="3:8" ht="18" customHeight="1" thickTop="1" x14ac:dyDescent="0.25"/>
  </sheetData>
  <dataConsolidate/>
  <pageMargins left="0.7" right="0.7" top="0.75" bottom="0.75" header="0.3" footer="0.3"/>
  <pageSetup paperSize="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7" r:id="rId4" name="Drop Down 9">
              <controlPr defaultSize="0" autoLine="0" autoPict="0">
                <anchor moveWithCells="1">
                  <from>
                    <xdr:col>4</xdr:col>
                    <xdr:colOff>9525</xdr:colOff>
                    <xdr:row>5</xdr:row>
                    <xdr:rowOff>19050</xdr:rowOff>
                  </from>
                  <to>
                    <xdr:col>4</xdr:col>
                    <xdr:colOff>2686050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5" name="Spinner 10">
              <controlPr defaultSize="0" autoPict="0">
                <anchor moveWithCells="1" sizeWithCells="1">
                  <from>
                    <xdr:col>5</xdr:col>
                    <xdr:colOff>0</xdr:colOff>
                    <xdr:row>8</xdr:row>
                    <xdr:rowOff>9525</xdr:rowOff>
                  </from>
                  <to>
                    <xdr:col>5</xdr:col>
                    <xdr:colOff>638175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6" name="Option Button 11">
              <controlPr defaultSize="0" autoFill="0" autoLine="0" autoPict="0">
                <anchor moveWithCells="1">
                  <from>
                    <xdr:col>4</xdr:col>
                    <xdr:colOff>57150</xdr:colOff>
                    <xdr:row>14</xdr:row>
                    <xdr:rowOff>19050</xdr:rowOff>
                  </from>
                  <to>
                    <xdr:col>5</xdr:col>
                    <xdr:colOff>9525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" name="Option Button 12">
              <controlPr defaultSize="0" autoFill="0" autoLine="0" autoPict="0">
                <anchor moveWithCells="1">
                  <from>
                    <xdr:col>4</xdr:col>
                    <xdr:colOff>47625</xdr:colOff>
                    <xdr:row>14</xdr:row>
                    <xdr:rowOff>209550</xdr:rowOff>
                  </from>
                  <to>
                    <xdr:col>5</xdr:col>
                    <xdr:colOff>57150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8" name="Option Button 14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219075</xdr:rowOff>
                  </from>
                  <to>
                    <xdr:col>5</xdr:col>
                    <xdr:colOff>28575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9" name="Option Button 15">
              <controlPr defaultSize="0" autoFill="0" autoLine="0" autoPict="0">
                <anchor moveWithCells="1">
                  <from>
                    <xdr:col>4</xdr:col>
                    <xdr:colOff>9525</xdr:colOff>
                    <xdr:row>25</xdr:row>
                    <xdr:rowOff>0</xdr:rowOff>
                  </from>
                  <to>
                    <xdr:col>5</xdr:col>
                    <xdr:colOff>47625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0" name="Option Button 16">
              <controlPr defaultSize="0" autoFill="0" autoLine="0" autoPict="0">
                <anchor moveWithCells="1">
                  <from>
                    <xdr:col>4</xdr:col>
                    <xdr:colOff>9525</xdr:colOff>
                    <xdr:row>25</xdr:row>
                    <xdr:rowOff>228600</xdr:rowOff>
                  </from>
                  <to>
                    <xdr:col>5</xdr:col>
                    <xdr:colOff>0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1" name="Group Box 19">
              <controlPr defaultSize="0" autoFill="0" autoPict="0">
                <anchor moveWithCells="1">
                  <from>
                    <xdr:col>2</xdr:col>
                    <xdr:colOff>723900</xdr:colOff>
                    <xdr:row>22</xdr:row>
                    <xdr:rowOff>76200</xdr:rowOff>
                  </from>
                  <to>
                    <xdr:col>5</xdr:col>
                    <xdr:colOff>733425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2" name="Check Box 20">
              <controlPr defaultSize="0" autoFill="0" autoLine="0" autoPict="0">
                <anchor moveWithCells="1">
                  <from>
                    <xdr:col>4</xdr:col>
                    <xdr:colOff>9525</xdr:colOff>
                    <xdr:row>32</xdr:row>
                    <xdr:rowOff>0</xdr:rowOff>
                  </from>
                  <to>
                    <xdr:col>4</xdr:col>
                    <xdr:colOff>2638425</xdr:colOff>
                    <xdr:row>33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7F50-1372-2D4D-988A-78E1A11993E7}">
  <sheetPr codeName="Hoja4"/>
  <dimension ref="B3:J14"/>
  <sheetViews>
    <sheetView showGridLines="0" topLeftCell="A2" workbookViewId="0">
      <selection activeCell="H8" sqref="H8"/>
    </sheetView>
  </sheetViews>
  <sheetFormatPr baseColWidth="10" defaultColWidth="12.42578125" defaultRowHeight="15" x14ac:dyDescent="0.25"/>
  <cols>
    <col min="1" max="1" width="3.42578125" style="35" customWidth="1"/>
    <col min="2" max="2" width="11" style="35" customWidth="1"/>
    <col min="3" max="3" width="35.28515625" style="35" bestFit="1" customWidth="1"/>
    <col min="4" max="5" width="12.42578125" style="35"/>
    <col min="6" max="6" width="5.42578125" style="35" customWidth="1"/>
    <col min="7" max="7" width="40.42578125" style="35" bestFit="1" customWidth="1"/>
    <col min="8" max="8" width="31.28515625" style="35" bestFit="1" customWidth="1"/>
    <col min="9" max="16384" width="12.42578125" style="35"/>
  </cols>
  <sheetData>
    <row r="3" spans="2:10" x14ac:dyDescent="0.25">
      <c r="B3" s="34" t="s">
        <v>45</v>
      </c>
      <c r="C3" s="34" t="s">
        <v>44</v>
      </c>
      <c r="D3" s="34" t="s">
        <v>46</v>
      </c>
      <c r="E3" s="34" t="s">
        <v>35</v>
      </c>
      <c r="G3" s="35" t="s">
        <v>47</v>
      </c>
    </row>
    <row r="4" spans="2:10" x14ac:dyDescent="0.25">
      <c r="B4" s="36">
        <v>100</v>
      </c>
      <c r="C4" s="37" t="s">
        <v>31</v>
      </c>
      <c r="D4" s="38">
        <v>17000</v>
      </c>
      <c r="E4" s="36">
        <v>20</v>
      </c>
    </row>
    <row r="5" spans="2:10" x14ac:dyDescent="0.25">
      <c r="B5" s="36">
        <v>200</v>
      </c>
      <c r="C5" s="37" t="s">
        <v>32</v>
      </c>
      <c r="D5" s="38">
        <v>15200</v>
      </c>
      <c r="E5" s="36">
        <v>50</v>
      </c>
      <c r="G5" s="39" t="s">
        <v>48</v>
      </c>
      <c r="H5" s="40"/>
      <c r="J5" s="35">
        <v>5</v>
      </c>
    </row>
    <row r="6" spans="2:10" x14ac:dyDescent="0.25">
      <c r="B6" s="36">
        <v>300</v>
      </c>
      <c r="C6" s="37" t="s">
        <v>24</v>
      </c>
      <c r="D6" s="38">
        <v>16400</v>
      </c>
      <c r="E6" s="36">
        <v>40</v>
      </c>
    </row>
    <row r="7" spans="2:10" x14ac:dyDescent="0.25">
      <c r="B7" s="36">
        <v>400</v>
      </c>
      <c r="C7" s="37" t="s">
        <v>20</v>
      </c>
      <c r="D7" s="38">
        <v>21900</v>
      </c>
      <c r="E7" s="36">
        <v>35</v>
      </c>
    </row>
    <row r="8" spans="2:10" x14ac:dyDescent="0.25">
      <c r="B8" s="36">
        <v>500</v>
      </c>
      <c r="C8" s="37" t="s">
        <v>19</v>
      </c>
      <c r="D8" s="38">
        <v>12870</v>
      </c>
      <c r="E8" s="36">
        <v>11</v>
      </c>
      <c r="G8" s="41" t="s">
        <v>49</v>
      </c>
      <c r="H8" s="42"/>
    </row>
    <row r="9" spans="2:10" x14ac:dyDescent="0.25">
      <c r="B9" s="36">
        <v>600</v>
      </c>
      <c r="C9" s="37" t="s">
        <v>18</v>
      </c>
      <c r="D9" s="38">
        <v>11540</v>
      </c>
      <c r="E9" s="36">
        <v>90</v>
      </c>
    </row>
    <row r="10" spans="2:10" x14ac:dyDescent="0.25">
      <c r="G10" s="35" t="s">
        <v>50</v>
      </c>
      <c r="H10" s="43"/>
    </row>
    <row r="12" spans="2:10" x14ac:dyDescent="0.25">
      <c r="G12" s="35" t="s">
        <v>51</v>
      </c>
      <c r="H12" s="43"/>
    </row>
    <row r="14" spans="2:10" x14ac:dyDescent="0.25">
      <c r="G14" s="35" t="s">
        <v>52</v>
      </c>
      <c r="H14" s="43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7</xdr:col>
                    <xdr:colOff>9525</xdr:colOff>
                    <xdr:row>4</xdr:row>
                    <xdr:rowOff>0</xdr:rowOff>
                  </from>
                  <to>
                    <xdr:col>8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/>
      <outs:isPinned>true</outs:isPinned>
    </outs:relatedDate>
    <outs:relatedDate>
      <outs:type>2</outs:type>
      <outs:displayName>Created</outs:displayName>
      <outs:dateTime>2009-06-04T05:23:36Z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/>
  <outs:relatedPeople>
    <outs:relatedPeopleItem>
      <outs:category>Author</outs:category>
      <outs:people>
        <outs:relatedPerson>
          <outs:displayName>Felix Lizama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/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3681EB61-DD53-4DFE-BECD-318949957B8E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Validación de Datos</vt:lpstr>
      <vt:lpstr>Datos</vt:lpstr>
      <vt:lpstr>Formulario</vt:lpstr>
      <vt:lpstr>Graficos</vt:lpstr>
      <vt:lpstr>Ipod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Lizama</dc:creator>
  <cp:lastModifiedBy>Tomas Antonio Silva Cabrera</cp:lastModifiedBy>
  <dcterms:created xsi:type="dcterms:W3CDTF">2009-06-04T05:23:36Z</dcterms:created>
  <dcterms:modified xsi:type="dcterms:W3CDTF">2025-11-11T15:19:30Z</dcterms:modified>
</cp:coreProperties>
</file>